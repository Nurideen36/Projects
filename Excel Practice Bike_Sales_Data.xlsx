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field-my.sharepoint.com/personal/nabubakari_linfield_edu/Documents/"/>
    </mc:Choice>
  </mc:AlternateContent>
  <xr:revisionPtr revIDLastSave="86" documentId="8_{E7624566-1C7A-5240-A7C8-295C60322364}" xr6:coauthVersionLast="47" xr6:coauthVersionMax="47" xr10:uidLastSave="{39096008-6767-3446-897B-94FA4B42373C}"/>
  <bookViews>
    <workbookView xWindow="680" yWindow="660" windowWidth="28040" windowHeight="17160" activeTab="3" xr2:uid="{713E77C2-B527-654A-81F4-F276DC6B444A}"/>
  </bookViews>
  <sheets>
    <sheet name="bike_sales" sheetId="2" r:id="rId1"/>
    <sheet name="Sheet1" sheetId="1" r:id="rId2"/>
    <sheet name="Sales Data" sheetId="3" r:id="rId3"/>
    <sheet name="Sheet3" sheetId="4" r:id="rId4"/>
  </sheets>
  <definedNames>
    <definedName name="bike_sales" localSheetId="1">Sheet1!$A$1:$M$12</definedName>
    <definedName name="ExternalData_1" localSheetId="0" hidden="1">bike_sales!$A$1:$M$12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3" l="1"/>
  <c r="I7" i="3"/>
  <c r="J3" i="3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702430-2FFE-BC4B-B730-78D51D6BF317}" name="bike_sales" type="6" refreshedVersion="8" background="1" saveData="1">
    <textPr codePage="10000" sourceFile="/Users/nabubakari/Downloads/bike_sales.txt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4899614-5EC0-774E-9435-35E545F7583E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<sst xmlns="http://schemas.openxmlformats.org/spreadsheetml/2006/main" count="184" uniqueCount="43">
  <si>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</si>
  <si>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</si>
  <si>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</si>
  <si>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</si>
  <si>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</si>
  <si>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</si>
  <si>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</si>
  <si>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</si>
  <si>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</si>
  <si>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</si>
  <si>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</si>
  <si>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</si>
  <si>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</si>
  <si>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</si>
  <si>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</si>
  <si>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</si>
  <si>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</si>
  <si>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</si>
  <si>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</si>
  <si>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</si>
  <si>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</si>
  <si>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</si>
  <si>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</si>
  <si>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</si>
  <si>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</si>
  <si>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</si>
  <si>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</si>
  <si>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</si>
  <si>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</si>
  <si>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</si>
  <si>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</si>
  <si>
    <t>Product</t>
  </si>
  <si>
    <t>Unit_Cost</t>
  </si>
  <si>
    <t>Unit_Price</t>
  </si>
  <si>
    <t>Total_Cost</t>
  </si>
  <si>
    <t>Revenue</t>
  </si>
  <si>
    <t>Califonia</t>
  </si>
  <si>
    <t>Mountain-200 Black</t>
  </si>
  <si>
    <t>Road-750 Black</t>
  </si>
  <si>
    <t>Road-550-W Yellow</t>
  </si>
  <si>
    <t>Road-250 Red</t>
  </si>
  <si>
    <t>Road-150 Red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</si>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</sst>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6" formatCode="&quot;$&quot;#,##0.00"/>
    <numFmt numFmtId="167" formatCode="m/d/yyyy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166" fontId="2" fillId="0" borderId="0" xfId="1" applyNumberFormat="1" applyFont="1" applyAlignment="1">
      <alignment horizontal="center"/>
    </xf>
    <xf numFmtId="44" fontId="0" fillId="0" borderId="0" xfId="1" applyFont="1"/>
    <xf numFmtId="166" fontId="0" fillId="0" borderId="0" xfId="1" applyNumberFormat="1" applyFont="1"/>
    <xf numFmtId="166" fontId="3" fillId="0" borderId="0" xfId="1" applyNumberFormat="1" applyFont="1"/>
    <xf numFmtId="166" fontId="2" fillId="0" borderId="0" xfId="1" applyNumberFormat="1" applyFont="1"/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6A1CE5-7790-1949-A7DD-078487731EC3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ke_sales" connectionId="1" xr16:uid="{5CB4F961-5A26-094D-9E01-DE6C8BDF7108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288A6-42A9-734F-87B4-D7407CCD3F37}" name="bike_sales_1" displayName="bike_sales_1" ref="A1:M12" tableType="queryTable" totalsRowShown="0">
  <autoFilter ref="A1:M12" xr:uid="{486288A6-42A9-734F-87B4-D7407CCD3F37}"/>
  <tableColumns count="13">
    <tableColumn id="1" xr3:uid="{CE9BDC98-925A-0543-B98E-9E15E83498E3}" uniqueName="1" name="Date" queryTableFieldId="1" dataDxfId="6"/>
    <tableColumn id="2" xr3:uid="{1C67FBB0-7432-0547-BF71-138AC0EE4816}" uniqueName="2" name="Month" queryTableFieldId="2" dataDxfId="5"/>
    <tableColumn id="3" xr3:uid="{01996EB5-92AF-1D45-8BDA-EEE65427434D}" uniqueName="3" name="Year" queryTableFieldId="3"/>
    <tableColumn id="4" xr3:uid="{2D307A9E-2585-B24C-BD03-D0B41B34F8A9}" uniqueName="4" name="Customer_Age" queryTableFieldId="4"/>
    <tableColumn id="5" xr3:uid="{544FB7C0-B1BA-7F46-9ACE-377B6B910BE8}" uniqueName="5" name="Age_Group" queryTableFieldId="5" dataDxfId="4"/>
    <tableColumn id="6" xr3:uid="{1A80D1A3-BD76-104F-BDFA-C91CE256B855}" uniqueName="6" name="Customer_Gender" queryTableFieldId="6" dataDxfId="3"/>
    <tableColumn id="7" xr3:uid="{9DF2AF9C-0E85-414F-9D58-6C73EE3F2304}" uniqueName="7" name="Country" queryTableFieldId="7" dataDxfId="2"/>
    <tableColumn id="8" xr3:uid="{B2CB9D7F-01A2-124F-91CE-422A2D6B3279}" uniqueName="8" name="State" queryTableFieldId="8" dataDxfId="1"/>
    <tableColumn id="9" xr3:uid="{95D04500-608D-3C44-8438-D0C83B573FC7}" uniqueName="9" name="Product_Category" queryTableFieldId="9" dataDxfId="0"/>
    <tableColumn id="10" xr3:uid="{8FE93F32-65C1-B64D-AC13-AC1C3AE06A2F}" uniqueName="10" name="Order_Quantity" queryTableFieldId="10"/>
    <tableColumn id="11" xr3:uid="{FA344AA8-4EE2-DF4E-9BD3-078122412DED}" uniqueName="11" name="Profit" queryTableFieldId="11"/>
    <tableColumn id="12" xr3:uid="{CA0D0D7F-DA9C-7141-9496-7DAE24B562E9}" uniqueName="12" name="Cost" queryTableFieldId="12"/>
    <tableColumn id="13" xr3:uid="{D5C59D3D-4944-9F46-AEDC-07D540A6B896}" uniqueName="13" name=" Revenue 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9B0C-AFB8-A842-BE7F-C1512987AE8B}">
  <dimension ref="A1:M12"/>
  <sheetViews>
    <sheetView workbookViewId="0"/>
  </sheetViews>
  <sheetFormatPr baseColWidth="10" defaultRowHeight="16" x14ac:dyDescent="0.2"/>
  <cols>
    <col min="1" max="1" width="7.6640625" bestFit="1" customWidth="1"/>
    <col min="2" max="2" width="9.6640625" bestFit="1" customWidth="1"/>
    <col min="3" max="3" width="7.33203125" bestFit="1" customWidth="1"/>
    <col min="4" max="4" width="16" bestFit="1" customWidth="1"/>
    <col min="5" max="5" width="17.83203125" bestFit="1" customWidth="1"/>
    <col min="6" max="6" width="19" bestFit="1" customWidth="1"/>
    <col min="7" max="7" width="13.6640625" bestFit="1" customWidth="1"/>
    <col min="8" max="8" width="15.1640625" bestFit="1" customWidth="1"/>
    <col min="9" max="9" width="18.5" bestFit="1" customWidth="1"/>
    <col min="10" max="10" width="16.1640625" bestFit="1" customWidth="1"/>
    <col min="11" max="11" width="8.33203125" bestFit="1" customWidth="1"/>
    <col min="12" max="12" width="7.6640625" bestFit="1" customWidth="1"/>
    <col min="13" max="13" width="11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44531</v>
      </c>
      <c r="B2" s="3" t="s">
        <v>13</v>
      </c>
      <c r="C2">
        <v>2021</v>
      </c>
      <c r="D2">
        <v>39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2">
      <c r="A3" s="1">
        <v>44531</v>
      </c>
      <c r="B3" s="3" t="s">
        <v>13</v>
      </c>
      <c r="C3">
        <v>2021</v>
      </c>
      <c r="D3">
        <v>42</v>
      </c>
      <c r="E3" s="3" t="s">
        <v>14</v>
      </c>
      <c r="F3" s="3" t="s">
        <v>19</v>
      </c>
      <c r="G3" s="3" t="s">
        <v>16</v>
      </c>
      <c r="H3" s="3" t="s">
        <v>20</v>
      </c>
      <c r="I3" s="3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2">
      <c r="A4" s="1">
        <v>44531</v>
      </c>
      <c r="B4" s="3" t="s">
        <v>13</v>
      </c>
      <c r="C4">
        <v>2021</v>
      </c>
      <c r="D4">
        <v>36</v>
      </c>
      <c r="E4" s="3" t="s">
        <v>14</v>
      </c>
      <c r="F4" s="3" t="s">
        <v>15</v>
      </c>
      <c r="G4" s="3" t="s">
        <v>21</v>
      </c>
      <c r="H4" s="3" t="s">
        <v>22</v>
      </c>
      <c r="I4" s="3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2">
      <c r="A5" s="1">
        <v>44531</v>
      </c>
      <c r="B5" s="3" t="s">
        <v>13</v>
      </c>
      <c r="C5">
        <v>2021</v>
      </c>
      <c r="D5">
        <v>20</v>
      </c>
      <c r="E5" s="3" t="s">
        <v>23</v>
      </c>
      <c r="F5" s="3" t="s">
        <v>19</v>
      </c>
      <c r="G5" s="3" t="s">
        <v>21</v>
      </c>
      <c r="H5" s="3" t="s">
        <v>24</v>
      </c>
      <c r="I5" s="3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2">
      <c r="A6" s="1">
        <v>44531</v>
      </c>
      <c r="B6" s="3" t="s">
        <v>13</v>
      </c>
      <c r="C6">
        <v>2021</v>
      </c>
      <c r="D6">
        <v>23</v>
      </c>
      <c r="E6" s="3" t="s">
        <v>23</v>
      </c>
      <c r="F6" s="3" t="s">
        <v>19</v>
      </c>
      <c r="G6" s="3" t="s">
        <v>25</v>
      </c>
      <c r="H6" s="3" t="s">
        <v>26</v>
      </c>
      <c r="I6" s="3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2">
      <c r="A7" s="1">
        <v>44531</v>
      </c>
      <c r="B7" s="3" t="s">
        <v>13</v>
      </c>
      <c r="C7">
        <v>2021</v>
      </c>
      <c r="D7">
        <v>23</v>
      </c>
      <c r="E7" s="3" t="s">
        <v>23</v>
      </c>
      <c r="F7" s="3" t="s">
        <v>15</v>
      </c>
      <c r="G7" s="3" t="s">
        <v>16</v>
      </c>
      <c r="H7" s="3" t="s">
        <v>17</v>
      </c>
      <c r="I7" s="3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2">
      <c r="A8" s="1">
        <v>44531</v>
      </c>
      <c r="B8" s="3" t="s">
        <v>13</v>
      </c>
      <c r="C8">
        <v>2021</v>
      </c>
      <c r="D8">
        <v>28</v>
      </c>
      <c r="E8" s="3" t="s">
        <v>27</v>
      </c>
      <c r="F8" s="3" t="s">
        <v>15</v>
      </c>
      <c r="G8" s="3" t="s">
        <v>28</v>
      </c>
      <c r="H8" s="3" t="s">
        <v>29</v>
      </c>
      <c r="I8" s="3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2">
      <c r="A9" s="1">
        <v>44531</v>
      </c>
      <c r="B9" s="3" t="s">
        <v>13</v>
      </c>
      <c r="C9">
        <v>2021</v>
      </c>
      <c r="D9">
        <v>28</v>
      </c>
      <c r="E9" s="3" t="s">
        <v>27</v>
      </c>
      <c r="F9" s="3" t="s">
        <v>15</v>
      </c>
      <c r="G9" s="3" t="s">
        <v>16</v>
      </c>
      <c r="H9" s="3" t="s">
        <v>17</v>
      </c>
      <c r="I9" s="3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2">
      <c r="A10" s="1">
        <v>44531</v>
      </c>
      <c r="B10" s="3" t="s">
        <v>13</v>
      </c>
      <c r="C10">
        <v>2021</v>
      </c>
      <c r="D10">
        <v>31</v>
      </c>
      <c r="E10" s="3" t="s">
        <v>27</v>
      </c>
      <c r="F10" s="3" t="s">
        <v>15</v>
      </c>
      <c r="G10" s="3" t="s">
        <v>28</v>
      </c>
      <c r="H10" s="3" t="s">
        <v>30</v>
      </c>
      <c r="I10" s="3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2">
      <c r="A11" s="1">
        <v>44531</v>
      </c>
      <c r="B11" s="3" t="s">
        <v>13</v>
      </c>
      <c r="C11">
        <v>2021</v>
      </c>
      <c r="D11">
        <v>34</v>
      </c>
      <c r="E11" s="3" t="s">
        <v>27</v>
      </c>
      <c r="F11" s="3" t="s">
        <v>19</v>
      </c>
      <c r="G11" s="3" t="s">
        <v>28</v>
      </c>
      <c r="H11" s="3" t="s">
        <v>29</v>
      </c>
      <c r="I11" s="3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2">
      <c r="A12" s="1">
        <v>44531</v>
      </c>
      <c r="B12" s="3" t="s">
        <v>13</v>
      </c>
      <c r="C12">
        <v>2021</v>
      </c>
      <c r="D12">
        <v>44</v>
      </c>
      <c r="E12" s="3" t="s">
        <v>14</v>
      </c>
      <c r="F12" s="3" t="s">
        <v>19</v>
      </c>
      <c r="G12" s="3" t="s">
        <v>25</v>
      </c>
      <c r="H12" s="3" t="s">
        <v>26</v>
      </c>
      <c r="I12" s="3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FAA6-0D03-CA43-A2F2-400384DB096E}">
  <dimension ref="A1:M12"/>
  <sheetViews>
    <sheetView topLeftCell="A4" workbookViewId="0"/>
  </sheetViews>
  <sheetFormatPr baseColWidth="10" defaultRowHeight="16" x14ac:dyDescent="0.2"/>
  <cols>
    <col min="1" max="1" width="7.5" bestFit="1" customWidth="1"/>
    <col min="2" max="2" width="9.6640625" bestFit="1" customWidth="1"/>
    <col min="3" max="3" width="5.1640625" bestFit="1" customWidth="1"/>
    <col min="4" max="4" width="12.83203125" bestFit="1" customWidth="1"/>
    <col min="5" max="5" width="17.83203125" bestFit="1" customWidth="1"/>
    <col min="6" max="6" width="16" bestFit="1" customWidth="1"/>
    <col min="7" max="7" width="13.6640625" bestFit="1" customWidth="1"/>
    <col min="8" max="8" width="15.1640625" bestFit="1" customWidth="1"/>
    <col min="9" max="9" width="15.6640625" bestFit="1" customWidth="1"/>
    <col min="10" max="10" width="13.6640625" bestFit="1" customWidth="1"/>
    <col min="11" max="13" width="9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44531</v>
      </c>
      <c r="B2" t="s">
        <v>13</v>
      </c>
      <c r="C2">
        <v>2021</v>
      </c>
      <c r="D2">
        <v>39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</v>
      </c>
      <c r="K2" s="2">
        <v>3988</v>
      </c>
      <c r="L2" s="2">
        <v>5008</v>
      </c>
      <c r="M2" s="2">
        <v>8996</v>
      </c>
    </row>
    <row r="3" spans="1:13" x14ac:dyDescent="0.2">
      <c r="A3" s="1">
        <v>44531</v>
      </c>
      <c r="B3" t="s">
        <v>13</v>
      </c>
      <c r="C3">
        <v>2021</v>
      </c>
      <c r="D3">
        <v>42</v>
      </c>
      <c r="E3" t="s">
        <v>14</v>
      </c>
      <c r="F3" t="s">
        <v>19</v>
      </c>
      <c r="G3" t="s">
        <v>16</v>
      </c>
      <c r="H3" t="s">
        <v>20</v>
      </c>
      <c r="I3" t="s">
        <v>18</v>
      </c>
      <c r="J3">
        <v>3</v>
      </c>
      <c r="K3" s="2">
        <v>232</v>
      </c>
      <c r="L3" s="2">
        <v>1032</v>
      </c>
      <c r="M3" s="2">
        <v>1264</v>
      </c>
    </row>
    <row r="4" spans="1:13" x14ac:dyDescent="0.2">
      <c r="A4" s="1">
        <v>44531</v>
      </c>
      <c r="B4" t="s">
        <v>13</v>
      </c>
      <c r="C4">
        <v>2021</v>
      </c>
      <c r="D4">
        <v>36</v>
      </c>
      <c r="E4" t="s">
        <v>14</v>
      </c>
      <c r="F4" t="s">
        <v>15</v>
      </c>
      <c r="G4" t="s">
        <v>21</v>
      </c>
      <c r="H4" t="s">
        <v>22</v>
      </c>
      <c r="I4" t="s">
        <v>18</v>
      </c>
      <c r="J4">
        <v>2</v>
      </c>
      <c r="K4" s="2">
        <v>792</v>
      </c>
      <c r="L4" s="2">
        <v>1426</v>
      </c>
      <c r="M4" s="2">
        <v>2218</v>
      </c>
    </row>
    <row r="5" spans="1:13" x14ac:dyDescent="0.2">
      <c r="A5" s="1">
        <v>44531</v>
      </c>
      <c r="B5" t="s">
        <v>13</v>
      </c>
      <c r="C5">
        <v>2021</v>
      </c>
      <c r="D5">
        <v>20</v>
      </c>
      <c r="E5" t="s">
        <v>23</v>
      </c>
      <c r="F5" t="s">
        <v>19</v>
      </c>
      <c r="G5" t="s">
        <v>21</v>
      </c>
      <c r="H5" t="s">
        <v>24</v>
      </c>
      <c r="I5" t="s">
        <v>18</v>
      </c>
      <c r="J5">
        <v>1</v>
      </c>
      <c r="K5" s="2">
        <v>717</v>
      </c>
      <c r="L5" s="2">
        <v>1555</v>
      </c>
      <c r="M5" s="2">
        <v>2272</v>
      </c>
    </row>
    <row r="6" spans="1:13" x14ac:dyDescent="0.2">
      <c r="A6" s="1">
        <v>44531</v>
      </c>
      <c r="B6" t="s">
        <v>13</v>
      </c>
      <c r="C6">
        <v>2021</v>
      </c>
      <c r="D6">
        <v>23</v>
      </c>
      <c r="E6" t="s">
        <v>23</v>
      </c>
      <c r="F6" t="s">
        <v>19</v>
      </c>
      <c r="G6" t="s">
        <v>25</v>
      </c>
      <c r="H6" t="s">
        <v>26</v>
      </c>
      <c r="I6" t="s">
        <v>18</v>
      </c>
      <c r="J6">
        <v>1</v>
      </c>
      <c r="K6" s="2">
        <v>1264</v>
      </c>
      <c r="L6" s="2">
        <v>2171</v>
      </c>
      <c r="M6" s="2">
        <v>3435</v>
      </c>
    </row>
    <row r="7" spans="1:13" x14ac:dyDescent="0.2">
      <c r="A7" s="1">
        <v>44531</v>
      </c>
      <c r="B7" t="s">
        <v>13</v>
      </c>
      <c r="C7">
        <v>2021</v>
      </c>
      <c r="D7">
        <v>23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1</v>
      </c>
      <c r="K7" s="2">
        <v>385</v>
      </c>
      <c r="L7" s="2">
        <v>713</v>
      </c>
      <c r="M7" s="2">
        <v>1098</v>
      </c>
    </row>
    <row r="8" spans="1:13" x14ac:dyDescent="0.2">
      <c r="A8" s="1">
        <v>44531</v>
      </c>
      <c r="B8" t="s">
        <v>13</v>
      </c>
      <c r="C8">
        <v>2021</v>
      </c>
      <c r="D8">
        <v>28</v>
      </c>
      <c r="E8" t="s">
        <v>27</v>
      </c>
      <c r="F8" t="s">
        <v>15</v>
      </c>
      <c r="G8" t="s">
        <v>28</v>
      </c>
      <c r="H8" t="s">
        <v>29</v>
      </c>
      <c r="I8" t="s">
        <v>18</v>
      </c>
      <c r="J8">
        <v>1</v>
      </c>
      <c r="K8" s="2">
        <v>570</v>
      </c>
      <c r="L8" s="2">
        <v>1555</v>
      </c>
      <c r="M8" s="2">
        <v>2125</v>
      </c>
    </row>
    <row r="9" spans="1:13" x14ac:dyDescent="0.2">
      <c r="A9" s="1">
        <v>44531</v>
      </c>
      <c r="B9" t="s">
        <v>13</v>
      </c>
      <c r="C9">
        <v>2021</v>
      </c>
      <c r="D9">
        <v>28</v>
      </c>
      <c r="E9" t="s">
        <v>27</v>
      </c>
      <c r="F9" t="s">
        <v>15</v>
      </c>
      <c r="G9" t="s">
        <v>16</v>
      </c>
      <c r="H9" t="s">
        <v>17</v>
      </c>
      <c r="I9" t="s">
        <v>18</v>
      </c>
      <c r="J9">
        <v>1</v>
      </c>
      <c r="K9" s="2">
        <v>185</v>
      </c>
      <c r="L9" s="2">
        <v>344</v>
      </c>
      <c r="M9" s="2">
        <v>529</v>
      </c>
    </row>
    <row r="10" spans="1:13" x14ac:dyDescent="0.2">
      <c r="A10" s="1">
        <v>44531</v>
      </c>
      <c r="B10" t="s">
        <v>13</v>
      </c>
      <c r="C10">
        <v>2021</v>
      </c>
      <c r="D10">
        <v>31</v>
      </c>
      <c r="E10" t="s">
        <v>27</v>
      </c>
      <c r="F10" t="s">
        <v>15</v>
      </c>
      <c r="G10" t="s">
        <v>28</v>
      </c>
      <c r="H10" t="s">
        <v>30</v>
      </c>
      <c r="I10" t="s">
        <v>18</v>
      </c>
      <c r="J10">
        <v>1</v>
      </c>
      <c r="K10" s="2">
        <v>448</v>
      </c>
      <c r="L10" s="2">
        <v>1555</v>
      </c>
      <c r="M10" s="2">
        <v>2003</v>
      </c>
    </row>
    <row r="11" spans="1:13" x14ac:dyDescent="0.2">
      <c r="A11" s="1">
        <v>44531</v>
      </c>
      <c r="B11" t="s">
        <v>13</v>
      </c>
      <c r="C11">
        <v>2021</v>
      </c>
      <c r="D11">
        <v>34</v>
      </c>
      <c r="E11" t="s">
        <v>27</v>
      </c>
      <c r="F11" t="s">
        <v>19</v>
      </c>
      <c r="G11" t="s">
        <v>28</v>
      </c>
      <c r="H11" t="s">
        <v>29</v>
      </c>
      <c r="I11" t="s">
        <v>18</v>
      </c>
      <c r="J11">
        <v>1</v>
      </c>
      <c r="K11" s="2">
        <v>397</v>
      </c>
      <c r="L11" s="2">
        <v>1083</v>
      </c>
      <c r="M11" s="2">
        <v>1480</v>
      </c>
    </row>
    <row r="12" spans="1:13" x14ac:dyDescent="0.2">
      <c r="A12" s="1">
        <v>44531</v>
      </c>
      <c r="B12" t="s">
        <v>13</v>
      </c>
      <c r="C12">
        <v>2021</v>
      </c>
      <c r="D12">
        <v>44</v>
      </c>
      <c r="E12" t="s">
        <v>14</v>
      </c>
      <c r="F12" t="s">
        <v>19</v>
      </c>
      <c r="G12" t="s">
        <v>25</v>
      </c>
      <c r="H12" t="s">
        <v>26</v>
      </c>
      <c r="I12" t="s">
        <v>18</v>
      </c>
      <c r="J12">
        <v>1</v>
      </c>
      <c r="K12" s="2">
        <v>961</v>
      </c>
      <c r="L12" s="2">
        <v>1266</v>
      </c>
      <c r="M12" s="2">
        <v>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844E-54C8-5541-9563-BE8AB249AE03}">
  <dimension ref="A1:J7"/>
  <sheetViews>
    <sheetView workbookViewId="0">
      <selection activeCell="M10" sqref="M10"/>
    </sheetView>
  </sheetViews>
  <sheetFormatPr baseColWidth="10" defaultRowHeight="16" x14ac:dyDescent="0.2"/>
  <cols>
    <col min="1" max="1" width="10.83203125" style="4" customWidth="1"/>
    <col min="2" max="2" width="17" customWidth="1"/>
    <col min="3" max="3" width="13.5" customWidth="1"/>
    <col min="4" max="4" width="18.33203125" customWidth="1"/>
    <col min="5" max="5" width="17" customWidth="1"/>
    <col min="6" max="7" width="10.83203125" style="9"/>
    <col min="8" max="10" width="10.83203125" style="10"/>
  </cols>
  <sheetData>
    <row r="1" spans="1:10" x14ac:dyDescent="0.2">
      <c r="A1" s="5" t="s">
        <v>0</v>
      </c>
      <c r="B1" s="6" t="s">
        <v>6</v>
      </c>
      <c r="C1" s="6" t="s">
        <v>7</v>
      </c>
      <c r="D1" s="6" t="s">
        <v>31</v>
      </c>
      <c r="E1" s="6" t="s">
        <v>9</v>
      </c>
      <c r="F1" s="7" t="s">
        <v>32</v>
      </c>
      <c r="G1" s="7" t="s">
        <v>33</v>
      </c>
      <c r="H1" s="8" t="s">
        <v>34</v>
      </c>
      <c r="I1" s="8" t="s">
        <v>35</v>
      </c>
      <c r="J1" s="8" t="s">
        <v>10</v>
      </c>
    </row>
    <row r="2" spans="1:10" x14ac:dyDescent="0.2">
      <c r="A2" s="4">
        <v>44896</v>
      </c>
      <c r="B2" t="s">
        <v>16</v>
      </c>
      <c r="C2" t="s">
        <v>36</v>
      </c>
      <c r="D2" t="s">
        <v>37</v>
      </c>
      <c r="E2">
        <v>4</v>
      </c>
      <c r="F2" s="9">
        <v>1252</v>
      </c>
      <c r="G2" s="9">
        <v>2295</v>
      </c>
      <c r="H2" s="10">
        <f>E2*F2</f>
        <v>5008</v>
      </c>
      <c r="I2" s="10">
        <f>E2*G2</f>
        <v>9180</v>
      </c>
      <c r="J2" s="10">
        <f>I2-H2</f>
        <v>4172</v>
      </c>
    </row>
    <row r="3" spans="1:10" x14ac:dyDescent="0.2">
      <c r="A3" s="4">
        <v>44896</v>
      </c>
      <c r="B3" t="s">
        <v>16</v>
      </c>
      <c r="C3" t="s">
        <v>20</v>
      </c>
      <c r="D3" t="s">
        <v>38</v>
      </c>
      <c r="E3">
        <v>3</v>
      </c>
      <c r="F3" s="9">
        <v>344</v>
      </c>
      <c r="G3" s="9">
        <v>540</v>
      </c>
      <c r="H3" s="10">
        <f t="shared" ref="H3:H6" si="0">E3*F3</f>
        <v>1032</v>
      </c>
      <c r="I3" s="10">
        <f t="shared" ref="I3:I6" si="1">E3*G3</f>
        <v>1620</v>
      </c>
      <c r="J3" s="10">
        <f t="shared" ref="J3:J6" si="2">I3-H3</f>
        <v>588</v>
      </c>
    </row>
    <row r="4" spans="1:10" x14ac:dyDescent="0.2">
      <c r="A4" s="4">
        <v>44896</v>
      </c>
      <c r="B4" t="s">
        <v>21</v>
      </c>
      <c r="C4" t="s">
        <v>22</v>
      </c>
      <c r="D4" t="s">
        <v>39</v>
      </c>
      <c r="E4">
        <v>2</v>
      </c>
      <c r="F4" s="9">
        <v>713</v>
      </c>
      <c r="G4" s="9">
        <v>1120</v>
      </c>
      <c r="H4" s="10">
        <f t="shared" si="0"/>
        <v>1426</v>
      </c>
      <c r="I4" s="10">
        <f t="shared" si="1"/>
        <v>2240</v>
      </c>
      <c r="J4" s="10">
        <f t="shared" si="2"/>
        <v>814</v>
      </c>
    </row>
    <row r="5" spans="1:10" x14ac:dyDescent="0.2">
      <c r="A5" s="4">
        <v>44896</v>
      </c>
      <c r="B5" t="s">
        <v>21</v>
      </c>
      <c r="C5" t="s">
        <v>24</v>
      </c>
      <c r="D5" t="s">
        <v>40</v>
      </c>
      <c r="E5">
        <v>1</v>
      </c>
      <c r="F5" s="9">
        <v>1555</v>
      </c>
      <c r="G5" s="9">
        <v>2443</v>
      </c>
      <c r="H5" s="10">
        <f t="shared" si="0"/>
        <v>1555</v>
      </c>
      <c r="I5" s="10">
        <f t="shared" si="1"/>
        <v>2443</v>
      </c>
      <c r="J5" s="10">
        <f t="shared" si="2"/>
        <v>888</v>
      </c>
    </row>
    <row r="6" spans="1:10" x14ac:dyDescent="0.2">
      <c r="A6" s="4">
        <v>44896</v>
      </c>
      <c r="B6" t="s">
        <v>25</v>
      </c>
      <c r="C6" t="s">
        <v>26</v>
      </c>
      <c r="D6" t="s">
        <v>41</v>
      </c>
      <c r="E6">
        <v>1</v>
      </c>
      <c r="F6" s="9">
        <v>2171</v>
      </c>
      <c r="G6" s="9">
        <v>3578</v>
      </c>
      <c r="H6" s="10">
        <f t="shared" si="0"/>
        <v>2171</v>
      </c>
      <c r="I6" s="11">
        <f t="shared" si="1"/>
        <v>3578</v>
      </c>
      <c r="J6" s="11">
        <f t="shared" si="2"/>
        <v>1407</v>
      </c>
    </row>
    <row r="7" spans="1:10" x14ac:dyDescent="0.2">
      <c r="H7" s="12" t="s">
        <v>42</v>
      </c>
      <c r="I7" s="12">
        <f>SUM(I2:I6)</f>
        <v>19061</v>
      </c>
      <c r="J7" s="12">
        <f>SUM(J2:J6)</f>
        <v>7869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F0F-68DD-AF4C-8EFA-2E7A77F5354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B89B2-CE0F-B04F-B457-6E33F8E7D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bike_sales</vt:lpstr>
      <vt:lpstr>Sheet1</vt:lpstr>
      <vt:lpstr>Sales Data</vt:lpstr>
      <vt:lpstr>Sheet3</vt:lpstr>
      <vt:lpstr>Sheet1!bike_sales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Nurideen Abubakari</dc:creator>
  <cp:lastModifiedBy>Nurideen Abubakari</cp:lastModifiedBy>
  <dcterms:created xsi:type="dcterms:W3CDTF">2026-05-15T15:16:25Z</dcterms:created>
  <dcterms:modified xsi:type="dcterms:W3CDTF">2026-05-15T18:47:14Z</dcterms:modified>
</cp:coreProperties>
</file>